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7"/>
  <workbookPr filterPrivacy="1"/>
  <xr:revisionPtr revIDLastSave="0" documentId="13_ncr:1_{B5DBC282-1EB0-454F-B63B-5C748A31F35E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Data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P2" i="2" l="1"/>
  <c r="O2" i="2"/>
  <c r="N2" i="2"/>
  <c r="C5" i="2"/>
  <c r="D5" i="2"/>
  <c r="E5" i="2"/>
  <c r="F5" i="2"/>
  <c r="G5" i="2"/>
  <c r="H5" i="2"/>
  <c r="I5" i="2"/>
  <c r="J5" i="2"/>
  <c r="B5" i="2"/>
  <c r="B4" i="2"/>
  <c r="C4" i="2"/>
  <c r="D4" i="2"/>
  <c r="E4" i="2"/>
  <c r="F4" i="2"/>
  <c r="G4" i="2"/>
  <c r="H4" i="2"/>
  <c r="I4" i="2"/>
  <c r="J4" i="2"/>
  <c r="C3" i="2"/>
  <c r="D3" i="2"/>
  <c r="E3" i="2"/>
  <c r="F3" i="2"/>
  <c r="G3" i="2"/>
  <c r="H3" i="2"/>
  <c r="I3" i="2"/>
  <c r="J3" i="2"/>
  <c r="B3" i="2"/>
  <c r="C2" i="2"/>
  <c r="D2" i="2"/>
  <c r="E2" i="2"/>
  <c r="F2" i="2"/>
  <c r="G2" i="2"/>
  <c r="H2" i="2"/>
  <c r="I2" i="2"/>
  <c r="J2" i="2"/>
  <c r="B2" i="2"/>
  <c r="L2" i="2" l="1"/>
</calcChain>
</file>

<file path=xl/sharedStrings.xml><?xml version="1.0" encoding="utf-8"?>
<sst xmlns="http://schemas.openxmlformats.org/spreadsheetml/2006/main" count="21" uniqueCount="21">
  <si>
    <t>合計</t>
    <rPh sb="0" eb="2">
      <t>ゴウケイ</t>
    </rPh>
    <phoneticPr fontId="1"/>
  </si>
  <si>
    <t>平均</t>
    <rPh sb="0" eb="2">
      <t>ヘイキン</t>
    </rPh>
    <phoneticPr fontId="1"/>
  </si>
  <si>
    <t>試行数</t>
    <rPh sb="0" eb="3">
      <t>シコウスウ</t>
    </rPh>
    <phoneticPr fontId="1"/>
  </si>
  <si>
    <t>時間</t>
    <rPh sb="0" eb="2">
      <t>ジカン</t>
    </rPh>
    <phoneticPr fontId="1"/>
  </si>
  <si>
    <t>回転回数</t>
    <rPh sb="0" eb="2">
      <t>カイテン</t>
    </rPh>
    <rPh sb="2" eb="4">
      <t>カイスウ</t>
    </rPh>
    <phoneticPr fontId="1"/>
  </si>
  <si>
    <t>回転成功数</t>
    <rPh sb="0" eb="5">
      <t>カイテンセイコウスウ</t>
    </rPh>
    <phoneticPr fontId="1"/>
  </si>
  <si>
    <t>ジャンプ数</t>
    <rPh sb="4" eb="5">
      <t>スウ</t>
    </rPh>
    <phoneticPr fontId="1"/>
  </si>
  <si>
    <t>ジャンプ回避成功数</t>
    <rPh sb="4" eb="9">
      <t>カイヒセイコウスウ</t>
    </rPh>
    <phoneticPr fontId="1"/>
  </si>
  <si>
    <t>総ダメージ数</t>
    <rPh sb="0" eb="1">
      <t>ソウ</t>
    </rPh>
    <rPh sb="5" eb="6">
      <t>スウ</t>
    </rPh>
    <phoneticPr fontId="1"/>
  </si>
  <si>
    <t>ダメージ回数</t>
    <rPh sb="4" eb="6">
      <t>カイスウ</t>
    </rPh>
    <phoneticPr fontId="1"/>
  </si>
  <si>
    <t>最終プレイヤーHP</t>
    <rPh sb="0" eb="2">
      <t>サイシュウ</t>
    </rPh>
    <phoneticPr fontId="1"/>
  </si>
  <si>
    <t>最終敵HP</t>
    <rPh sb="0" eb="2">
      <t>サイシュウ</t>
    </rPh>
    <rPh sb="2" eb="3">
      <t>テキ</t>
    </rPh>
    <phoneticPr fontId="1"/>
  </si>
  <si>
    <t>成功数</t>
    <rPh sb="0" eb="3">
      <t>セイコウスウ</t>
    </rPh>
    <phoneticPr fontId="1"/>
  </si>
  <si>
    <t>失敗数</t>
    <rPh sb="0" eb="3">
      <t>シッパイスウ</t>
    </rPh>
    <phoneticPr fontId="1"/>
  </si>
  <si>
    <t>途中離脱数</t>
    <rPh sb="0" eb="2">
      <t>トチュウ</t>
    </rPh>
    <rPh sb="2" eb="5">
      <t>リダツスウ</t>
    </rPh>
    <phoneticPr fontId="1"/>
  </si>
  <si>
    <t>勝率</t>
    <rPh sb="0" eb="2">
      <t>ショウリツ</t>
    </rPh>
    <phoneticPr fontId="1"/>
  </si>
  <si>
    <t>成功</t>
    <rPh sb="0" eb="2">
      <t>セイコウ</t>
    </rPh>
    <phoneticPr fontId="1"/>
  </si>
  <si>
    <t>失敗</t>
    <rPh sb="0" eb="2">
      <t>シッパイ</t>
    </rPh>
    <phoneticPr fontId="1"/>
  </si>
  <si>
    <t>途中</t>
    <rPh sb="0" eb="2">
      <t>トチュウ</t>
    </rPh>
    <phoneticPr fontId="1"/>
  </si>
  <si>
    <t>途中離脱を除く合計</t>
    <rPh sb="0" eb="2">
      <t>トチュウ</t>
    </rPh>
    <rPh sb="2" eb="4">
      <t>リダツ</t>
    </rPh>
    <rPh sb="5" eb="6">
      <t>ノゾ</t>
    </rPh>
    <rPh sb="7" eb="9">
      <t>ゴウケイ</t>
    </rPh>
    <phoneticPr fontId="1"/>
  </si>
  <si>
    <t>途中離脱を除く平均</t>
    <rPh sb="0" eb="4">
      <t>トチュウリダツ</t>
    </rPh>
    <rPh sb="5" eb="6">
      <t>ノゾ</t>
    </rPh>
    <rPh sb="7" eb="9">
      <t>ヘイキン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</si>
</sst>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cols>
    <col min="1" max="16384" width="9" style="1"/>
  </cols>
  <sheetData/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7CF1-7C81-4F68-BC2D-761841DBF9E3}">
  <dimension ref="A1:P7"/>
  <sheetViews>
    <sheetView tabSelected="1" workbookViewId="0">
      <selection activeCell="P2" sqref="P2"/>
    </sheetView>
  </sheetViews>
  <sheetFormatPr defaultRowHeight="18.75"/>
  <cols>
    <col min="1" max="1" width="19.25" bestFit="1" customWidth="1"/>
    <col min="4" max="5" width="11" bestFit="1" customWidth="1"/>
    <col min="6" max="6" width="19.25" bestFit="1" customWidth="1"/>
    <col min="7" max="8" width="13" bestFit="1" customWidth="1"/>
    <col min="9" max="9" width="18" bestFit="1" customWidth="1"/>
    <col min="10" max="10" width="9.75" bestFit="1" customWidth="1"/>
    <col min="15" max="16" width="11" bestFit="1" customWidth="1"/>
  </cols>
  <sheetData>
    <row r="1" spans="1:16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L1" t="s">
        <v>15</v>
      </c>
      <c r="M1" t="s">
        <v>2</v>
      </c>
      <c r="N1" t="s">
        <v>12</v>
      </c>
      <c r="O1" t="s">
        <v>13</v>
      </c>
      <c r="P1" t="s">
        <v>14</v>
      </c>
    </row>
    <row r="2" spans="1:16">
      <c r="A2" t="s">
        <v>0</v>
      </c>
      <c r="B2">
        <f>SUM(Data!B$2:B$1000)</f>
        <v>0</v>
      </c>
      <c r="C2">
        <f>SUM(Data!C$2:C$1000)</f>
        <v>0</v>
      </c>
      <c r="D2">
        <f>SUM(Data!D$2:D$1000)</f>
        <v>0</v>
      </c>
      <c r="E2">
        <f>SUM(Data!E$2:E$1000)</f>
        <v>0</v>
      </c>
      <c r="F2">
        <f>SUM(Data!F$2:F$1000)</f>
        <v>0</v>
      </c>
      <c r="G2">
        <f>SUM(Data!G$2:G$1000)</f>
        <v>0</v>
      </c>
      <c r="H2">
        <f>SUM(Data!H$2:H$1000)</f>
        <v>0</v>
      </c>
      <c r="I2">
        <f>SUM(Data!I$2:I$1000)</f>
        <v>0</v>
      </c>
      <c r="J2">
        <f>SUM(Data!J$2:J$1000)</f>
        <v>0</v>
      </c>
      <c r="L2" t="e">
        <f>N2 / M2</f>
        <v>#DIV/0!</v>
      </c>
      <c r="M2">
        <f>COUNTA(Data!$A$1:$A$1000)</f>
        <v>0</v>
      </c>
      <c r="N2">
        <f>COUNTIF(Data!$A$1:$A$1000,N5)</f>
        <v>0</v>
      </c>
      <c r="O2">
        <f>COUNTIF(Data!$A$1:$A$1000,N6)</f>
        <v>0</v>
      </c>
      <c r="P2">
        <f>COUNTIF(Data!$A$1:$A$1000,N7)</f>
        <v>0</v>
      </c>
    </row>
    <row r="3" spans="1:16">
      <c r="A3" t="s">
        <v>1</v>
      </c>
      <c r="B3" t="e">
        <f>AVERAGE(Data!B$1:B$1000)</f>
        <v>#DIV/0!</v>
      </c>
      <c r="C3" t="e">
        <f>AVERAGE(Data!C$1:C$1000)</f>
        <v>#DIV/0!</v>
      </c>
      <c r="D3" t="e">
        <f>AVERAGE(Data!D$1:D$1000)</f>
        <v>#DIV/0!</v>
      </c>
      <c r="E3" t="e">
        <f>AVERAGE(Data!E$1:E$1000)</f>
        <v>#DIV/0!</v>
      </c>
      <c r="F3" t="e">
        <f>AVERAGE(Data!F$1:F$1000)</f>
        <v>#DIV/0!</v>
      </c>
      <c r="G3" t="e">
        <f>AVERAGE(Data!G$1:G$1000)</f>
        <v>#DIV/0!</v>
      </c>
      <c r="H3" t="e">
        <f>AVERAGE(Data!H$1:H$1000)</f>
        <v>#DIV/0!</v>
      </c>
      <c r="I3" t="e">
        <f>AVERAGE(Data!I$1:I$1000)</f>
        <v>#DIV/0!</v>
      </c>
      <c r="J3" t="e">
        <f>AVERAGE(Data!J$1:J$1000)</f>
        <v>#DIV/0!</v>
      </c>
    </row>
    <row r="4" spans="1:16">
      <c r="A4" t="s">
        <v>19</v>
      </c>
      <c r="B4">
        <f>SUMIF(Data!$A$1:$A$1000,"&lt;&gt;-1",Data!B$1:B$1000)</f>
        <v>0</v>
      </c>
      <c r="C4">
        <f>SUMIF(Data!$A$1:$A$1000,"&lt;&gt;-1",Data!C$1:C$1000)</f>
        <v>0</v>
      </c>
      <c r="D4">
        <f>SUMIF(Data!$A$1:$A$1000,"&lt;&gt;-1",Data!D$1:D$1000)</f>
        <v>0</v>
      </c>
      <c r="E4">
        <f>SUMIF(Data!$A$1:$A$1000,"&lt;&gt;-1",Data!E$1:E$1000)</f>
        <v>0</v>
      </c>
      <c r="F4">
        <f>SUMIF(Data!$A$1:$A$1000,"&lt;&gt;-1",Data!F$1:F$1000)</f>
        <v>0</v>
      </c>
      <c r="G4">
        <f>SUMIF(Data!$A$1:$A$1000,"&lt;&gt;-1",Data!G$1:G$1000)</f>
        <v>0</v>
      </c>
      <c r="H4">
        <f>SUMIF(Data!$A$1:$A$1000,"&lt;&gt;-1",Data!H$1:H$1000)</f>
        <v>0</v>
      </c>
      <c r="I4">
        <f>SUMIF(Data!$A$1:$A$1000,"&lt;&gt;-1",Data!I$1:I$1000)</f>
        <v>0</v>
      </c>
      <c r="J4">
        <f>SUMIF(Data!$A$1:$A$1000,"&lt;&gt;-1",Data!J$1:J$1000)</f>
        <v>0</v>
      </c>
    </row>
    <row r="5" spans="1:16">
      <c r="A5" t="s">
        <v>20</v>
      </c>
      <c r="B5" t="e">
        <f>AVERAGEIF(Data!$A$1:$A$1000,"&lt;&gt;-1",Data!B$1:B$1000)</f>
        <v>#DIV/0!</v>
      </c>
      <c r="C5" t="e">
        <f>AVERAGEIF(Data!$A$1:$A$1000,"&lt;&gt;-1",Data!C$1:C$1000)</f>
        <v>#DIV/0!</v>
      </c>
      <c r="D5" t="e">
        <f>AVERAGEIF(Data!$A$1:$A$1000,"&lt;&gt;-1",Data!D$1:D$1000)</f>
        <v>#DIV/0!</v>
      </c>
      <c r="E5" t="e">
        <f>AVERAGEIF(Data!$A$1:$A$1000,"&lt;&gt;-1",Data!E$1:E$1000)</f>
        <v>#DIV/0!</v>
      </c>
      <c r="F5" t="e">
        <f>AVERAGEIF(Data!$A$1:$A$1000,"&lt;&gt;-1",Data!F$1:F$1000)</f>
        <v>#DIV/0!</v>
      </c>
      <c r="G5" t="e">
        <f>AVERAGEIF(Data!$A$1:$A$1000,"&lt;&gt;-1",Data!G$1:G$1000)</f>
        <v>#DIV/0!</v>
      </c>
      <c r="H5" t="e">
        <f>AVERAGEIF(Data!$A$1:$A$1000,"&lt;&gt;-1",Data!H$1:H$1000)</f>
        <v>#DIV/0!</v>
      </c>
      <c r="I5" t="e">
        <f>AVERAGEIF(Data!$A$1:$A$1000,"&lt;&gt;-1",Data!I$1:I$1000)</f>
        <v>#DIV/0!</v>
      </c>
      <c r="J5" t="e">
        <f>AVERAGEIF(Data!$A$1:$A$1000,"&lt;&gt;-1",Data!J$1:J$1000)</f>
        <v>#DIV/0!</v>
      </c>
      <c r="M5" t="s">
        <v>16</v>
      </c>
      <c r="N5">
        <v>1</v>
      </c>
    </row>
    <row r="6" spans="1:16">
      <c r="M6" t="s">
        <v>17</v>
      </c>
      <c r="N6">
        <v>0</v>
      </c>
    </row>
    <row r="7" spans="1:16">
      <c r="M7" t="s">
        <v>18</v>
      </c>
      <c r="N7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2025-12-17T05:45:46Z</dcterms:modified>
</cp:coreProperties>
</file>